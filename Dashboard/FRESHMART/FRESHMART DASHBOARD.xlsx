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eb3c2e9862f82c0/"/>
    </mc:Choice>
  </mc:AlternateContent>
  <xr:revisionPtr revIDLastSave="0" documentId="8_{67B02476-9324-4CDE-92CE-591E01CA0C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ESHMART SALES DASHBOARD" sheetId="1" r:id="rId1"/>
    <sheet name="Data" sheetId="2" r:id="rId2"/>
    <sheet name="Calculation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2" i="3"/>
  <c r="T11" i="3"/>
  <c r="S11" i="3"/>
  <c r="Q11" i="3"/>
  <c r="P11" i="3"/>
  <c r="H11" i="3"/>
  <c r="T10" i="3"/>
  <c r="S10" i="3"/>
  <c r="Q10" i="3"/>
  <c r="P10" i="3"/>
  <c r="K10" i="3"/>
  <c r="H10" i="3"/>
  <c r="W9" i="3"/>
  <c r="V9" i="3"/>
  <c r="T9" i="3"/>
  <c r="S9" i="3"/>
  <c r="Q9" i="3"/>
  <c r="P9" i="3"/>
  <c r="K9" i="3"/>
  <c r="H9" i="3"/>
  <c r="W8" i="3"/>
  <c r="V8" i="3"/>
  <c r="T8" i="3"/>
  <c r="S8" i="3"/>
  <c r="Q8" i="3"/>
  <c r="P8" i="3"/>
  <c r="K8" i="3"/>
  <c r="H8" i="3"/>
  <c r="W7" i="3"/>
  <c r="V7" i="3"/>
  <c r="T7" i="3"/>
  <c r="S7" i="3"/>
  <c r="Q7" i="3"/>
  <c r="P7" i="3"/>
  <c r="K7" i="3"/>
  <c r="H7" i="3"/>
  <c r="W6" i="3"/>
  <c r="V6" i="3"/>
  <c r="T6" i="3"/>
  <c r="S6" i="3"/>
  <c r="Q6" i="3"/>
  <c r="P6" i="3"/>
  <c r="K6" i="3"/>
  <c r="H6" i="3"/>
  <c r="W5" i="3"/>
  <c r="V5" i="3"/>
  <c r="T5" i="3"/>
  <c r="S5" i="3"/>
  <c r="Q5" i="3"/>
  <c r="P5" i="3"/>
  <c r="K5" i="3"/>
  <c r="H5" i="3"/>
  <c r="E5" i="3"/>
  <c r="R8" i="1" s="1"/>
  <c r="W4" i="3"/>
  <c r="V4" i="3"/>
  <c r="T4" i="3"/>
  <c r="S4" i="3"/>
  <c r="Q4" i="3"/>
  <c r="P4" i="3"/>
  <c r="K4" i="3"/>
  <c r="H4" i="3"/>
  <c r="E4" i="3"/>
  <c r="N8" i="1" s="1"/>
  <c r="B4" i="3"/>
  <c r="W3" i="3"/>
  <c r="V3" i="3"/>
  <c r="T3" i="3"/>
  <c r="S3" i="3"/>
  <c r="Q3" i="3"/>
  <c r="P3" i="3"/>
  <c r="N3" i="3"/>
  <c r="M3" i="3"/>
  <c r="K3" i="3"/>
  <c r="H3" i="3"/>
  <c r="E3" i="3"/>
  <c r="J8" i="1" s="1"/>
  <c r="B3" i="3"/>
  <c r="W2" i="3"/>
  <c r="V2" i="3"/>
  <c r="T2" i="3"/>
  <c r="S2" i="3"/>
  <c r="Q2" i="3"/>
  <c r="P2" i="3"/>
  <c r="N2" i="3"/>
  <c r="M2" i="3"/>
  <c r="K2" i="3"/>
  <c r="H2" i="3"/>
  <c r="B2" i="3"/>
  <c r="E2" i="3" s="1"/>
  <c r="F8" i="1" s="1"/>
</calcChain>
</file>

<file path=xl/sharedStrings.xml><?xml version="1.0" encoding="utf-8"?>
<sst xmlns="http://schemas.openxmlformats.org/spreadsheetml/2006/main" count="132" uniqueCount="89">
  <si>
    <t>FRESHMART SALES DASHBOARD</t>
  </si>
  <si>
    <t>STORE ID</t>
  </si>
  <si>
    <t>TOTAL SALES</t>
  </si>
  <si>
    <t>TOTAL PROFIT</t>
  </si>
  <si>
    <t>TOTAL QUANTITY</t>
  </si>
  <si>
    <t>TOTAL ORDERS</t>
  </si>
  <si>
    <t>All</t>
  </si>
  <si>
    <t>PAYMENT MODE</t>
  </si>
  <si>
    <t>MONTHLY SALES TREND</t>
  </si>
  <si>
    <t>SALES BY PAYMENT MODE</t>
  </si>
  <si>
    <t>SALES BY SALES CHANNEL</t>
  </si>
  <si>
    <t>SALES CHANNEL</t>
  </si>
  <si>
    <t>PROFIT BY PRODUCT (TOP 10)</t>
  </si>
  <si>
    <t>SALES BY STORE (TOP 10)</t>
  </si>
  <si>
    <t>SALES BY PRODUCT CATEGORY</t>
  </si>
  <si>
    <t>Month</t>
  </si>
  <si>
    <t>Sales</t>
  </si>
  <si>
    <t>Payment Mode</t>
  </si>
  <si>
    <t>Sales %</t>
  </si>
  <si>
    <t>Sales Channel</t>
  </si>
  <si>
    <t>Product</t>
  </si>
  <si>
    <t>Profit</t>
  </si>
  <si>
    <t>Store</t>
  </si>
  <si>
    <t>Category</t>
  </si>
  <si>
    <t>KPI</t>
  </si>
  <si>
    <t>Value</t>
  </si>
  <si>
    <t>Other Payment</t>
  </si>
  <si>
    <t>Share</t>
  </si>
  <si>
    <t>Apr-2024</t>
  </si>
  <si>
    <t>Cash</t>
  </si>
  <si>
    <t>Offline</t>
  </si>
  <si>
    <t>Product 1</t>
  </si>
  <si>
    <t>Store 1</t>
  </si>
  <si>
    <t>Category 1</t>
  </si>
  <si>
    <t>Total Sales</t>
  </si>
  <si>
    <t>Other 1</t>
  </si>
  <si>
    <t>May-2024</t>
  </si>
  <si>
    <t>Credit Card</t>
  </si>
  <si>
    <t>Online</t>
  </si>
  <si>
    <t>Product 2</t>
  </si>
  <si>
    <t>Store 2</t>
  </si>
  <si>
    <t>Category 2</t>
  </si>
  <si>
    <t>Total Profit</t>
  </si>
  <si>
    <t>Other 2</t>
  </si>
  <si>
    <t>Jun-2024</t>
  </si>
  <si>
    <t>Debit Card</t>
  </si>
  <si>
    <t>Product 3</t>
  </si>
  <si>
    <t>Store 3</t>
  </si>
  <si>
    <t>Category 3</t>
  </si>
  <si>
    <t>Total Quantity</t>
  </si>
  <si>
    <t>Other 3</t>
  </si>
  <si>
    <t>Jul-2024</t>
  </si>
  <si>
    <t>EMI</t>
  </si>
  <si>
    <t>Product 4</t>
  </si>
  <si>
    <t>Store 4</t>
  </si>
  <si>
    <t>Category 4</t>
  </si>
  <si>
    <t>Total Orders</t>
  </si>
  <si>
    <t>Aug-2024</t>
  </si>
  <si>
    <t>Net Banking</t>
  </si>
  <si>
    <t>Product 5</t>
  </si>
  <si>
    <t>Store 5</t>
  </si>
  <si>
    <t>Category 5</t>
  </si>
  <si>
    <t>Sep-2024</t>
  </si>
  <si>
    <t>UPI</t>
  </si>
  <si>
    <t>Product 6</t>
  </si>
  <si>
    <t>Store 6</t>
  </si>
  <si>
    <t>Category 6</t>
  </si>
  <si>
    <t>Oct-2024</t>
  </si>
  <si>
    <t>Product 7</t>
  </si>
  <si>
    <t>Store 7</t>
  </si>
  <si>
    <t>Category 7</t>
  </si>
  <si>
    <t>Nov-2024</t>
  </si>
  <si>
    <t>Product 8</t>
  </si>
  <si>
    <t>Store 8</t>
  </si>
  <si>
    <t>Category 8</t>
  </si>
  <si>
    <t>Dec-2024</t>
  </si>
  <si>
    <t>Product 9</t>
  </si>
  <si>
    <t>Store 9</t>
  </si>
  <si>
    <t>Jan-2025</t>
  </si>
  <si>
    <t>Product 10</t>
  </si>
  <si>
    <t>Store 10</t>
  </si>
  <si>
    <t>Feb-2025</t>
  </si>
  <si>
    <t>Mar-2025</t>
  </si>
  <si>
    <t>Filter Values</t>
  </si>
  <si>
    <t>Channel</t>
  </si>
  <si>
    <t>Store ID</t>
  </si>
  <si>
    <t xml:space="preserve">                                    All</t>
  </si>
  <si>
    <t xml:space="preserve">All                                                             </t>
  </si>
  <si>
    <t xml:space="preserve">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</si>
</sst>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\ #,##0.00"/>
    <numFmt numFmtId="165" formatCode="\₹\ #,##0"/>
  </numFmts>
  <fonts count="10" x14ac:knownFonts="1">
    <font>
      <sz val="11"/>
      <name val="Calibri"/>
      <scheme val="minor"/>
    </font>
    <font>
      <b/>
      <sz val="24"/>
      <color rgb="FFFFFFFF"/>
      <name val="Georgia"/>
    </font>
    <font>
      <sz val="11"/>
      <name val="Calibri"/>
    </font>
    <font>
      <b/>
      <sz val="12"/>
      <color rgb="FFFFFFFF"/>
      <name val="Georgia"/>
    </font>
    <font>
      <b/>
      <sz val="13"/>
      <color rgb="FFFFFFFF"/>
      <name val="Georgia"/>
    </font>
    <font>
      <sz val="11"/>
      <color rgb="FF1F1F1F"/>
      <name val="Calibri"/>
    </font>
    <font>
      <b/>
      <sz val="18"/>
      <color rgb="FFFFFFFF"/>
      <name val="Georgia"/>
    </font>
    <font>
      <i/>
      <sz val="10"/>
      <color rgb="FF666666"/>
      <name val="Calibri"/>
    </font>
    <font>
      <b/>
      <sz val="11"/>
      <color rgb="FFFFFFFF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2F75B5"/>
        <bgColor rgb="FF2F75B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8" fillId="2" borderId="23" xfId="0" applyFont="1" applyFill="1" applyBorder="1" applyAlignment="1">
      <alignment vertical="center"/>
    </xf>
    <xf numFmtId="0" fontId="9" fillId="7" borderId="23" xfId="0" applyFont="1" applyFill="1" applyBorder="1" applyAlignment="1">
      <alignment vertical="center"/>
    </xf>
    <xf numFmtId="165" fontId="9" fillId="7" borderId="23" xfId="0" applyNumberFormat="1" applyFont="1" applyFill="1" applyBorder="1" applyAlignment="1">
      <alignment vertical="center"/>
    </xf>
    <xf numFmtId="164" fontId="9" fillId="7" borderId="23" xfId="0" applyNumberFormat="1" applyFont="1" applyFill="1" applyBorder="1" applyAlignment="1">
      <alignment vertical="center"/>
    </xf>
    <xf numFmtId="3" fontId="9" fillId="7" borderId="23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3" xfId="0" applyFont="1" applyBorder="1"/>
    <xf numFmtId="0" fontId="2" fillId="0" borderId="14" xfId="0" applyFont="1" applyBorder="1"/>
    <xf numFmtId="0" fontId="0" fillId="0" borderId="0" xfId="0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4" fillId="2" borderId="20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7" fillId="0" borderId="0" xfId="0" applyFont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/>
    </xf>
    <xf numFmtId="164" fontId="6" fillId="4" borderId="12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6" borderId="12" xfId="0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5" fillId="7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5" fillId="7" borderId="12" xfId="0" applyFont="1" applyFill="1" applyBorder="1" applyAlignment="1">
      <alignment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8" xfId="0" applyFont="1" applyBorder="1" applyAlignment="1"/>
    <xf numFmtId="0" fontId="0" fillId="0" borderId="0" xfId="0" applyAlignment="1"/>
    <xf numFmtId="0" fontId="2" fillId="0" borderId="19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5" fillId="7" borderId="12" xfId="0" applyFont="1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Calculations!$H$1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Calculations!$G$2:$G$13</c:f>
              <c:strCache>
                <c:ptCount val="12"/>
                <c:pt idx="0">
                  <c:v>Apr-2024</c:v>
                </c:pt>
                <c:pt idx="1">
                  <c:v>May-2024</c:v>
                </c:pt>
                <c:pt idx="2">
                  <c:v>Jun-2024</c:v>
                </c:pt>
                <c:pt idx="3">
                  <c:v>Jul-2024</c:v>
                </c:pt>
                <c:pt idx="4">
                  <c:v>Aug-2024</c:v>
                </c:pt>
                <c:pt idx="5">
                  <c:v>Sep-2024</c:v>
                </c:pt>
                <c:pt idx="6">
                  <c:v>Oct-2024</c:v>
                </c:pt>
                <c:pt idx="7">
                  <c:v>Nov-2024</c:v>
                </c:pt>
                <c:pt idx="8">
                  <c:v>Dec-2024</c:v>
                </c:pt>
                <c:pt idx="9">
                  <c:v>Jan-2025</c:v>
                </c:pt>
                <c:pt idx="10">
                  <c:v>Feb-2025</c:v>
                </c:pt>
                <c:pt idx="11">
                  <c:v>Mar-2025</c:v>
                </c:pt>
              </c:strCache>
            </c:strRef>
          </c:cat>
          <c:val>
            <c:numRef>
              <c:f>Calculations!$H$2:$H$13</c:f>
              <c:numCache>
                <c:formatCode>\₹\ #,##0</c:formatCode>
                <c:ptCount val="12"/>
                <c:pt idx="0">
                  <c:v>360000</c:v>
                </c:pt>
                <c:pt idx="1">
                  <c:v>410000</c:v>
                </c:pt>
                <c:pt idx="2">
                  <c:v>395000</c:v>
                </c:pt>
                <c:pt idx="3">
                  <c:v>520000</c:v>
                </c:pt>
                <c:pt idx="4">
                  <c:v>510000</c:v>
                </c:pt>
                <c:pt idx="5">
                  <c:v>680000</c:v>
                </c:pt>
                <c:pt idx="6">
                  <c:v>1080000</c:v>
                </c:pt>
                <c:pt idx="7">
                  <c:v>700000</c:v>
                </c:pt>
                <c:pt idx="8">
                  <c:v>375000</c:v>
                </c:pt>
                <c:pt idx="9">
                  <c:v>365000</c:v>
                </c:pt>
                <c:pt idx="10">
                  <c:v>350000</c:v>
                </c:pt>
                <c:pt idx="11">
                  <c:v>315000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DF-49F6-BA6C-8F05AE4F2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836522"/>
        <c:axId val="1155757570"/>
      </c:lineChart>
      <c:catAx>
        <c:axId val="415836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5757570"/>
        <c:crosses val="autoZero"/>
        <c:auto val="1"/>
        <c:lblAlgn val="ctr"/>
        <c:lblOffset val="100"/>
        <c:noMultiLvlLbl val="1"/>
      </c:catAx>
      <c:valAx>
        <c:axId val="11557575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Sales (₹)</a:t>
                </a:r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583652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Calculations!$K$1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82CE-438D-9588-CE753E8D972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82CE-438D-9588-CE753E8D972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82CE-438D-9588-CE753E8D972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82CE-438D-9588-CE753E8D972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82CE-438D-9588-CE753E8D972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82CE-438D-9588-CE753E8D9723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82CE-438D-9588-CE753E8D9723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82CE-438D-9588-CE753E8D9723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82CE-438D-9588-CE753E8D9723}"/>
              </c:ext>
            </c:extLst>
          </c:dPt>
          <c:cat>
            <c:strRef>
              <c:f>Calculations!$J$2:$J$10</c:f>
              <c:strCache>
                <c:ptCount val="9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  <c:pt idx="6">
                  <c:v>Other 1</c:v>
                </c:pt>
                <c:pt idx="7">
                  <c:v>Other 2</c:v>
                </c:pt>
                <c:pt idx="8">
                  <c:v>Other 3</c:v>
                </c:pt>
              </c:strCache>
            </c:strRef>
          </c:cat>
          <c:val>
            <c:numRef>
              <c:f>Calculations!$K$2:$K$10</c:f>
              <c:numCache>
                <c:formatCode>General</c:formatCode>
                <c:ptCount val="9"/>
                <c:pt idx="0">
                  <c:v>22</c:v>
                </c:pt>
                <c:pt idx="1">
                  <c:v>20</c:v>
                </c:pt>
                <c:pt idx="2">
                  <c:v>19</c:v>
                </c:pt>
                <c:pt idx="3">
                  <c:v>16</c:v>
                </c:pt>
                <c:pt idx="4">
                  <c:v>9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2CE-438D-9588-CE753E8D9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Calculations!$N$1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Calculations!$M$2:$M$3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Calculations!$N$2:$N$3</c:f>
              <c:numCache>
                <c:formatCode>\₹\ #,##0</c:formatCode>
                <c:ptCount val="2"/>
                <c:pt idx="0">
                  <c:v>62067324</c:v>
                </c:pt>
                <c:pt idx="1">
                  <c:v>29910824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5AE-4A2F-A8C0-0A8CD9871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8919830"/>
        <c:axId val="1560190440"/>
      </c:barChart>
      <c:catAx>
        <c:axId val="1288919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0190440"/>
        <c:crosses val="autoZero"/>
        <c:auto val="1"/>
        <c:lblAlgn val="ctr"/>
        <c:lblOffset val="100"/>
        <c:noMultiLvlLbl val="1"/>
      </c:catAx>
      <c:valAx>
        <c:axId val="1560190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1" i="0">
                    <a:solidFill>
                      <a:srgbClr val="000000"/>
                    </a:solidFill>
                    <a:latin typeface="+mn-lt"/>
                  </a:rPr>
                  <a:t>Sales (₹)</a:t>
                </a:r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891983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Calculations!$Q$1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Calculations!$P$2:$P$11</c:f>
              <c:strCache>
                <c:ptCount val="10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Product 4</c:v>
                </c:pt>
                <c:pt idx="4">
                  <c:v>Product 5</c:v>
                </c:pt>
                <c:pt idx="5">
                  <c:v>Product 6</c:v>
                </c:pt>
                <c:pt idx="6">
                  <c:v>Product 7</c:v>
                </c:pt>
                <c:pt idx="7">
                  <c:v>Product 8</c:v>
                </c:pt>
                <c:pt idx="8">
                  <c:v>Product 9</c:v>
                </c:pt>
                <c:pt idx="9">
                  <c:v>Product 10</c:v>
                </c:pt>
              </c:strCache>
            </c:strRef>
          </c:cat>
          <c:val>
            <c:numRef>
              <c:f>Calculations!$Q$2:$Q$11</c:f>
              <c:numCache>
                <c:formatCode>\₹\ #,##0</c:formatCode>
                <c:ptCount val="10"/>
                <c:pt idx="0">
                  <c:v>46739</c:v>
                </c:pt>
                <c:pt idx="1">
                  <c:v>37844</c:v>
                </c:pt>
                <c:pt idx="2">
                  <c:v>26857</c:v>
                </c:pt>
                <c:pt idx="3">
                  <c:v>23678</c:v>
                </c:pt>
                <c:pt idx="4">
                  <c:v>22915</c:v>
                </c:pt>
                <c:pt idx="5">
                  <c:v>21073</c:v>
                </c:pt>
                <c:pt idx="6">
                  <c:v>18560</c:v>
                </c:pt>
                <c:pt idx="7">
                  <c:v>17964</c:v>
                </c:pt>
                <c:pt idx="8">
                  <c:v>16485</c:v>
                </c:pt>
                <c:pt idx="9">
                  <c:v>11142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EE-453B-A45D-C56FFFA8B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6203008"/>
        <c:axId val="398137618"/>
      </c:barChart>
      <c:catAx>
        <c:axId val="7562030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8137618"/>
        <c:crosses val="autoZero"/>
        <c:auto val="1"/>
        <c:lblAlgn val="ctr"/>
        <c:lblOffset val="100"/>
        <c:noMultiLvlLbl val="1"/>
      </c:catAx>
      <c:valAx>
        <c:axId val="3981376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\₹\ 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6203008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Calculations!$T$1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Calculations!$S$2:$S$11</c:f>
              <c:strCache>
                <c:ptCount val="10"/>
                <c:pt idx="0">
                  <c:v>Store 1</c:v>
                </c:pt>
                <c:pt idx="1">
                  <c:v>Store 2</c:v>
                </c:pt>
                <c:pt idx="2">
                  <c:v>Store 3</c:v>
                </c:pt>
                <c:pt idx="3">
                  <c:v>Store 4</c:v>
                </c:pt>
                <c:pt idx="4">
                  <c:v>Store 5</c:v>
                </c:pt>
                <c:pt idx="5">
                  <c:v>Store 6</c:v>
                </c:pt>
                <c:pt idx="6">
                  <c:v>Store 7</c:v>
                </c:pt>
                <c:pt idx="7">
                  <c:v>Store 8</c:v>
                </c:pt>
                <c:pt idx="8">
                  <c:v>Store 9</c:v>
                </c:pt>
                <c:pt idx="9">
                  <c:v>Store 10</c:v>
                </c:pt>
              </c:strCache>
            </c:strRef>
          </c:cat>
          <c:val>
            <c:numRef>
              <c:f>Calculations!$T$2:$T$11</c:f>
              <c:numCache>
                <c:formatCode>\₹\ #,##0</c:formatCode>
                <c:ptCount val="10"/>
                <c:pt idx="0">
                  <c:v>8652114</c:v>
                </c:pt>
                <c:pt idx="1">
                  <c:v>7826323</c:v>
                </c:pt>
                <c:pt idx="2">
                  <c:v>7496647</c:v>
                </c:pt>
                <c:pt idx="3">
                  <c:v>6828325</c:v>
                </c:pt>
                <c:pt idx="4">
                  <c:v>6390189</c:v>
                </c:pt>
                <c:pt idx="5">
                  <c:v>6231261</c:v>
                </c:pt>
                <c:pt idx="6">
                  <c:v>5943188</c:v>
                </c:pt>
                <c:pt idx="7">
                  <c:v>5683364</c:v>
                </c:pt>
                <c:pt idx="8">
                  <c:v>5754919</c:v>
                </c:pt>
                <c:pt idx="9">
                  <c:v>5473274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5DE-45C0-B310-9FF449031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4816113"/>
        <c:axId val="1507334547"/>
      </c:barChart>
      <c:catAx>
        <c:axId val="9048161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7334547"/>
        <c:crosses val="autoZero"/>
        <c:auto val="1"/>
        <c:lblAlgn val="ctr"/>
        <c:lblOffset val="100"/>
        <c:noMultiLvlLbl val="1"/>
      </c:catAx>
      <c:valAx>
        <c:axId val="15073345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\₹\ 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4816113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Calculations!$W$1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Calculations!$V$2:$V$9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Calculations!$W$2:$W$9</c:f>
              <c:numCache>
                <c:formatCode>\₹\ #,##0</c:formatCode>
                <c:ptCount val="8"/>
                <c:pt idx="0">
                  <c:v>2821365</c:v>
                </c:pt>
                <c:pt idx="1">
                  <c:v>2065964</c:v>
                </c:pt>
                <c:pt idx="2">
                  <c:v>1858745</c:v>
                </c:pt>
                <c:pt idx="3">
                  <c:v>1624891</c:v>
                </c:pt>
                <c:pt idx="4">
                  <c:v>1247558</c:v>
                </c:pt>
                <c:pt idx="5">
                  <c:v>932114</c:v>
                </c:pt>
                <c:pt idx="6">
                  <c:v>712368</c:v>
                </c:pt>
                <c:pt idx="7">
                  <c:v>561285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F0-46B6-8F38-3C1A9B006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379517"/>
        <c:axId val="1497501719"/>
      </c:barChart>
      <c:catAx>
        <c:axId val="3643795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\₹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7501719"/>
        <c:crosses val="autoZero"/>
        <c:auto val="1"/>
        <c:lblAlgn val="ctr"/>
        <c:lblOffset val="100"/>
        <c:noMultiLvlLbl val="1"/>
      </c:catAx>
      <c:valAx>
        <c:axId val="14975017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\₹\ 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4379517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164756</xdr:colOff>
      <xdr:row>11</xdr:row>
      <xdr:rowOff>319216</xdr:rowOff>
    </xdr:from>
    <xdr:ext cx="4071447" cy="26361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180813</xdr:colOff>
      <xdr:row>11</xdr:row>
      <xdr:rowOff>267730</xdr:rowOff>
    </xdr:from>
    <xdr:ext cx="3711565" cy="271848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684508</xdr:colOff>
      <xdr:row>11</xdr:row>
      <xdr:rowOff>216243</xdr:rowOff>
    </xdr:from>
    <xdr:ext cx="4271285" cy="280086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813662</xdr:colOff>
      <xdr:row>21</xdr:row>
      <xdr:rowOff>175053</xdr:rowOff>
    </xdr:from>
    <xdr:ext cx="4197458" cy="30537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10</xdr:col>
      <xdr:colOff>154983</xdr:colOff>
      <xdr:row>21</xdr:row>
      <xdr:rowOff>142068</xdr:rowOff>
    </xdr:from>
    <xdr:ext cx="3874577" cy="3125491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12916</xdr:colOff>
      <xdr:row>21</xdr:row>
      <xdr:rowOff>154984</xdr:rowOff>
    </xdr:from>
    <xdr:ext cx="4158712" cy="3086745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100"/>
  <sheetViews>
    <sheetView showGridLines="0" tabSelected="1" zoomScale="59" zoomScaleNormal="74" workbookViewId="0">
      <selection activeCell="Y34" sqref="Y34"/>
    </sheetView>
  </sheetViews>
  <sheetFormatPr defaultColWidth="14.44140625" defaultRowHeight="15" customHeight="1" x14ac:dyDescent="0.3"/>
  <cols>
    <col min="1" max="20" width="12" customWidth="1"/>
    <col min="21" max="22" width="8.6640625" customWidth="1"/>
  </cols>
  <sheetData>
    <row r="1" spans="2:20" ht="24" customHeight="1" x14ac:dyDescent="0.3"/>
    <row r="2" spans="2:20" ht="24" customHeight="1" x14ac:dyDescent="0.3">
      <c r="B2" s="31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3"/>
    </row>
    <row r="3" spans="2:20" ht="24" customHeight="1" x14ac:dyDescent="0.3">
      <c r="B3" s="3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35"/>
    </row>
    <row r="4" spans="2:20" ht="24" customHeight="1" x14ac:dyDescent="0.3">
      <c r="B4" s="36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8"/>
    </row>
    <row r="5" spans="2:20" ht="24" customHeight="1" x14ac:dyDescent="0.3"/>
    <row r="6" spans="2:20" ht="24" customHeight="1" x14ac:dyDescent="0.3">
      <c r="B6" s="10" t="s">
        <v>1</v>
      </c>
      <c r="C6" s="11"/>
      <c r="D6" s="11"/>
      <c r="E6" s="12"/>
      <c r="F6" s="27" t="s">
        <v>2</v>
      </c>
      <c r="G6" s="13"/>
      <c r="H6" s="13"/>
      <c r="I6" s="14"/>
      <c r="J6" s="28" t="s">
        <v>3</v>
      </c>
      <c r="K6" s="13"/>
      <c r="L6" s="13"/>
      <c r="M6" s="14"/>
      <c r="N6" s="24" t="s">
        <v>4</v>
      </c>
      <c r="O6" s="13"/>
      <c r="P6" s="13"/>
      <c r="Q6" s="14"/>
      <c r="R6" s="23" t="s">
        <v>5</v>
      </c>
      <c r="S6" s="13"/>
      <c r="T6" s="14"/>
    </row>
    <row r="7" spans="2:20" ht="24" customHeight="1" x14ac:dyDescent="0.3">
      <c r="B7" s="48" t="s">
        <v>86</v>
      </c>
      <c r="C7" s="49"/>
      <c r="D7" s="49"/>
      <c r="E7" s="50"/>
      <c r="F7" s="16"/>
      <c r="G7" s="17"/>
      <c r="H7" s="17"/>
      <c r="I7" s="18"/>
      <c r="J7" s="16"/>
      <c r="K7" s="17"/>
      <c r="L7" s="17"/>
      <c r="M7" s="18"/>
      <c r="N7" s="16"/>
      <c r="O7" s="17"/>
      <c r="P7" s="17"/>
      <c r="Q7" s="18"/>
      <c r="R7" s="16"/>
      <c r="S7" s="17"/>
      <c r="T7" s="18"/>
    </row>
    <row r="8" spans="2:20" ht="24" customHeight="1" x14ac:dyDescent="0.3">
      <c r="B8" s="51"/>
      <c r="C8" s="52"/>
      <c r="D8" s="52"/>
      <c r="E8" s="53"/>
      <c r="F8" s="25">
        <f>Calculations!E2</f>
        <v>12948632.6</v>
      </c>
      <c r="G8" s="13"/>
      <c r="H8" s="13"/>
      <c r="I8" s="14"/>
      <c r="J8" s="26">
        <f>Calculations!E3</f>
        <v>2037319.89</v>
      </c>
      <c r="K8" s="13"/>
      <c r="L8" s="13"/>
      <c r="M8" s="14"/>
      <c r="N8" s="30">
        <f>Calculations!E4</f>
        <v>8323</v>
      </c>
      <c r="O8" s="13"/>
      <c r="P8" s="13"/>
      <c r="Q8" s="14"/>
      <c r="R8" s="29">
        <f>Calculations!E5</f>
        <v>2490</v>
      </c>
      <c r="S8" s="13"/>
      <c r="T8" s="14"/>
    </row>
    <row r="9" spans="2:20" ht="24" customHeight="1" x14ac:dyDescent="0.3">
      <c r="B9" s="54"/>
      <c r="C9" s="55"/>
      <c r="D9" s="55"/>
      <c r="E9" s="56"/>
      <c r="F9" s="16"/>
      <c r="G9" s="17"/>
      <c r="H9" s="17"/>
      <c r="I9" s="18"/>
      <c r="J9" s="16"/>
      <c r="K9" s="17"/>
      <c r="L9" s="17"/>
      <c r="M9" s="18"/>
      <c r="N9" s="16"/>
      <c r="O9" s="17"/>
      <c r="P9" s="17"/>
      <c r="Q9" s="18"/>
      <c r="R9" s="16"/>
      <c r="S9" s="17"/>
      <c r="T9" s="18"/>
    </row>
    <row r="10" spans="2:20" ht="24" customHeight="1" x14ac:dyDescent="0.3"/>
    <row r="11" spans="2:20" ht="24" customHeight="1" x14ac:dyDescent="0.3">
      <c r="B11" s="10" t="s">
        <v>7</v>
      </c>
      <c r="C11" s="11"/>
      <c r="D11" s="11"/>
      <c r="E11" s="12"/>
      <c r="F11" s="19" t="s">
        <v>8</v>
      </c>
      <c r="G11" s="20"/>
      <c r="H11" s="20"/>
      <c r="I11" s="20"/>
      <c r="J11" s="21"/>
      <c r="K11" s="19" t="s">
        <v>9</v>
      </c>
      <c r="L11" s="20"/>
      <c r="M11" s="20"/>
      <c r="N11" s="20"/>
      <c r="O11" s="21"/>
      <c r="P11" s="19" t="s">
        <v>10</v>
      </c>
      <c r="Q11" s="20"/>
      <c r="R11" s="20"/>
      <c r="S11" s="20"/>
      <c r="T11" s="21"/>
    </row>
    <row r="12" spans="2:20" ht="27.75" customHeight="1" x14ac:dyDescent="0.3">
      <c r="C12" s="57" t="s">
        <v>88</v>
      </c>
      <c r="D12" s="58"/>
      <c r="E12" s="59"/>
    </row>
    <row r="13" spans="2:20" ht="27.75" customHeight="1" x14ac:dyDescent="0.3">
      <c r="B13" s="60"/>
      <c r="C13" s="57" t="s">
        <v>87</v>
      </c>
      <c r="D13" s="61"/>
      <c r="E13" s="62"/>
    </row>
    <row r="14" spans="2:20" ht="27.75" customHeight="1" x14ac:dyDescent="0.3">
      <c r="B14" s="63"/>
      <c r="C14" s="64"/>
      <c r="D14" s="64"/>
      <c r="E14" s="65"/>
    </row>
    <row r="15" spans="2:20" ht="27.75" customHeight="1" x14ac:dyDescent="0.3"/>
    <row r="16" spans="2:20" ht="27.75" customHeight="1" x14ac:dyDescent="0.3">
      <c r="B16" s="10" t="s">
        <v>11</v>
      </c>
      <c r="C16" s="11"/>
      <c r="D16" s="11"/>
      <c r="E16" s="12"/>
    </row>
    <row r="17" spans="2:20" ht="27.75" customHeight="1" x14ac:dyDescent="0.3">
      <c r="B17" s="39" t="s">
        <v>6</v>
      </c>
      <c r="C17" s="40"/>
      <c r="D17" s="40"/>
      <c r="E17" s="41"/>
    </row>
    <row r="18" spans="2:20" ht="27.75" customHeight="1" x14ac:dyDescent="0.3">
      <c r="B18" s="42"/>
      <c r="C18" s="43"/>
      <c r="D18" s="43"/>
      <c r="E18" s="44"/>
    </row>
    <row r="19" spans="2:20" ht="27.75" customHeight="1" x14ac:dyDescent="0.3">
      <c r="B19" s="45"/>
      <c r="C19" s="46"/>
      <c r="D19" s="46"/>
      <c r="E19" s="47"/>
    </row>
    <row r="20" spans="2:20" ht="27.75" customHeight="1" x14ac:dyDescent="0.3"/>
    <row r="21" spans="2:20" ht="27.75" customHeight="1" x14ac:dyDescent="0.3">
      <c r="F21" s="19" t="s">
        <v>12</v>
      </c>
      <c r="G21" s="20"/>
      <c r="H21" s="20"/>
      <c r="I21" s="20"/>
      <c r="J21" s="21"/>
      <c r="K21" s="19" t="s">
        <v>13</v>
      </c>
      <c r="L21" s="20"/>
      <c r="M21" s="20"/>
      <c r="N21" s="20"/>
      <c r="O21" s="21"/>
      <c r="P21" s="19" t="s">
        <v>14</v>
      </c>
      <c r="Q21" s="20"/>
      <c r="R21" s="20"/>
      <c r="S21" s="20"/>
      <c r="T21" s="21"/>
    </row>
    <row r="22" spans="2:20" ht="27.75" customHeight="1" x14ac:dyDescent="0.3"/>
    <row r="23" spans="2:20" ht="27.75" customHeight="1" x14ac:dyDescent="0.3"/>
    <row r="24" spans="2:20" ht="27.75" customHeight="1" x14ac:dyDescent="0.3"/>
    <row r="25" spans="2:20" ht="27.75" customHeight="1" x14ac:dyDescent="0.3"/>
    <row r="26" spans="2:20" ht="24" customHeight="1" x14ac:dyDescent="0.3"/>
    <row r="27" spans="2:20" ht="24" customHeight="1" x14ac:dyDescent="0.3"/>
    <row r="28" spans="2:20" ht="27.75" customHeight="1" x14ac:dyDescent="0.3"/>
    <row r="29" spans="2:20" ht="27.75" customHeight="1" x14ac:dyDescent="0.3"/>
    <row r="30" spans="2:20" ht="27.75" customHeight="1" x14ac:dyDescent="0.3"/>
    <row r="31" spans="2:20" ht="27.75" customHeight="1" x14ac:dyDescent="0.3"/>
    <row r="32" spans="2:20" ht="27.75" customHeight="1" x14ac:dyDescent="0.3"/>
    <row r="33" spans="6:20" ht="27.75" customHeight="1" x14ac:dyDescent="0.3"/>
    <row r="34" spans="6:20" ht="27.75" customHeight="1" x14ac:dyDescent="0.3"/>
    <row r="35" spans="6:20" ht="27.75" customHeight="1" x14ac:dyDescent="0.3"/>
    <row r="36" spans="6:20" ht="27.75" customHeight="1" x14ac:dyDescent="0.3"/>
    <row r="37" spans="6:20" ht="27.75" customHeight="1" x14ac:dyDescent="0.3"/>
    <row r="38" spans="6:20" ht="27.75" customHeight="1" x14ac:dyDescent="0.3"/>
    <row r="39" spans="6:20" ht="27.75" customHeight="1" x14ac:dyDescent="0.3"/>
    <row r="40" spans="6:20" ht="27.75" customHeight="1" x14ac:dyDescent="0.3"/>
    <row r="41" spans="6:20" ht="27.75" customHeight="1" x14ac:dyDescent="0.3"/>
    <row r="42" spans="6:20" ht="24" customHeight="1" x14ac:dyDescent="0.3"/>
    <row r="43" spans="6:20" ht="24" customHeight="1" x14ac:dyDescent="0.3">
      <c r="F43" s="22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6:20" ht="24" customHeight="1" x14ac:dyDescent="0.3"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6:20" ht="24" customHeight="1" x14ac:dyDescent="0.3"/>
    <row r="46" spans="6:20" ht="15.75" customHeight="1" x14ac:dyDescent="0.3"/>
    <row r="47" spans="6:20" ht="15.75" customHeight="1" x14ac:dyDescent="0.3"/>
    <row r="48" spans="6:2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mergeCells count="21">
    <mergeCell ref="B2:T4"/>
    <mergeCell ref="F43:T44"/>
    <mergeCell ref="R6:T7"/>
    <mergeCell ref="N6:Q7"/>
    <mergeCell ref="F8:I9"/>
    <mergeCell ref="J8:M9"/>
    <mergeCell ref="F6:I7"/>
    <mergeCell ref="F11:J11"/>
    <mergeCell ref="J6:M7"/>
    <mergeCell ref="R8:T9"/>
    <mergeCell ref="K11:O11"/>
    <mergeCell ref="N8:Q9"/>
    <mergeCell ref="B17:E19"/>
    <mergeCell ref="P11:T11"/>
    <mergeCell ref="P21:T21"/>
    <mergeCell ref="K21:O21"/>
    <mergeCell ref="F21:J21"/>
    <mergeCell ref="B6:E6"/>
    <mergeCell ref="B16:E16"/>
    <mergeCell ref="B7:E9"/>
    <mergeCell ref="B11:E11"/>
  </mergeCells>
  <dataValidations count="3">
    <dataValidation type="list" allowBlank="1" sqref="B17" xr:uid="{00000000-0002-0000-0000-000001000000}">
      <formula1>"All,Offline,Online"</formula1>
    </dataValidation>
    <dataValidation type="list" allowBlank="1" sqref="B7" xr:uid="{00000000-0002-0000-0000-000002000000}">
      <formula1>"All,Store 1,Store 2,Store 3,Store 4,Store 5"</formula1>
    </dataValidation>
    <dataValidation type="list" allowBlank="1" sqref="C12:C13" xr:uid="{00000000-0002-0000-0000-000000000000}">
      <formula1>"All,Cash,Credit Card,Debit Card,EMI,Net Banking,UPI"</formula1>
    </dataValidation>
  </dataValidations>
  <pageMargins left="0.75" right="0.75" top="1" bottom="1" header="0" footer="0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3" width="16" customWidth="1"/>
  </cols>
  <sheetData>
    <row r="1" spans="1:23" ht="14.4" x14ac:dyDescent="0.3">
      <c r="A1" s="1" t="s">
        <v>15</v>
      </c>
      <c r="B1" s="1" t="s">
        <v>16</v>
      </c>
      <c r="C1" s="1"/>
      <c r="D1" s="1" t="s">
        <v>17</v>
      </c>
      <c r="E1" s="1" t="s">
        <v>18</v>
      </c>
      <c r="F1" s="1"/>
      <c r="G1" s="1" t="s">
        <v>19</v>
      </c>
      <c r="H1" s="1" t="s">
        <v>16</v>
      </c>
      <c r="I1" s="1"/>
      <c r="J1" s="1" t="s">
        <v>20</v>
      </c>
      <c r="K1" s="1" t="s">
        <v>21</v>
      </c>
      <c r="L1" s="1"/>
      <c r="M1" s="1" t="s">
        <v>22</v>
      </c>
      <c r="N1" s="1" t="s">
        <v>16</v>
      </c>
      <c r="O1" s="1"/>
      <c r="P1" s="1" t="s">
        <v>23</v>
      </c>
      <c r="Q1" s="1" t="s">
        <v>16</v>
      </c>
      <c r="R1" s="1"/>
      <c r="S1" s="1" t="s">
        <v>24</v>
      </c>
      <c r="T1" s="1" t="s">
        <v>25</v>
      </c>
      <c r="U1" s="1"/>
      <c r="V1" s="1" t="s">
        <v>26</v>
      </c>
      <c r="W1" s="1" t="s">
        <v>27</v>
      </c>
    </row>
    <row r="2" spans="1:23" ht="14.4" x14ac:dyDescent="0.3">
      <c r="A2" s="2" t="s">
        <v>28</v>
      </c>
      <c r="B2" s="3">
        <v>360000</v>
      </c>
      <c r="C2" s="2"/>
      <c r="D2" s="2" t="s">
        <v>29</v>
      </c>
      <c r="E2" s="2">
        <v>22</v>
      </c>
      <c r="F2" s="2"/>
      <c r="G2" s="2" t="s">
        <v>30</v>
      </c>
      <c r="H2" s="3">
        <v>62067324</v>
      </c>
      <c r="I2" s="2"/>
      <c r="J2" s="2" t="s">
        <v>31</v>
      </c>
      <c r="K2" s="3">
        <v>46739</v>
      </c>
      <c r="L2" s="2"/>
      <c r="M2" s="2" t="s">
        <v>32</v>
      </c>
      <c r="N2" s="3">
        <v>8652114</v>
      </c>
      <c r="O2" s="2"/>
      <c r="P2" s="2" t="s">
        <v>33</v>
      </c>
      <c r="Q2" s="3">
        <v>2821365</v>
      </c>
      <c r="R2" s="2"/>
      <c r="S2" s="2" t="s">
        <v>34</v>
      </c>
      <c r="T2" s="4">
        <v>12948632.6</v>
      </c>
      <c r="U2" s="2"/>
      <c r="V2" s="2" t="s">
        <v>35</v>
      </c>
      <c r="W2" s="2">
        <v>3</v>
      </c>
    </row>
    <row r="3" spans="1:23" ht="14.4" x14ac:dyDescent="0.3">
      <c r="A3" s="2" t="s">
        <v>36</v>
      </c>
      <c r="B3" s="3">
        <v>410000</v>
      </c>
      <c r="C3" s="2"/>
      <c r="D3" s="2" t="s">
        <v>37</v>
      </c>
      <c r="E3" s="2">
        <v>20</v>
      </c>
      <c r="F3" s="2"/>
      <c r="G3" s="2" t="s">
        <v>38</v>
      </c>
      <c r="H3" s="3">
        <v>29910824</v>
      </c>
      <c r="I3" s="2"/>
      <c r="J3" s="2" t="s">
        <v>39</v>
      </c>
      <c r="K3" s="3">
        <v>37844</v>
      </c>
      <c r="L3" s="2"/>
      <c r="M3" s="2" t="s">
        <v>40</v>
      </c>
      <c r="N3" s="3">
        <v>7826323</v>
      </c>
      <c r="O3" s="2"/>
      <c r="P3" s="2" t="s">
        <v>41</v>
      </c>
      <c r="Q3" s="3">
        <v>2065964</v>
      </c>
      <c r="R3" s="2"/>
      <c r="S3" s="2" t="s">
        <v>42</v>
      </c>
      <c r="T3" s="4">
        <v>2037319.89</v>
      </c>
      <c r="U3" s="2"/>
      <c r="V3" s="2" t="s">
        <v>43</v>
      </c>
      <c r="W3" s="2">
        <v>2</v>
      </c>
    </row>
    <row r="4" spans="1:23" ht="14.4" x14ac:dyDescent="0.3">
      <c r="A4" s="2" t="s">
        <v>44</v>
      </c>
      <c r="B4" s="3">
        <v>395000</v>
      </c>
      <c r="C4" s="2"/>
      <c r="D4" s="2" t="s">
        <v>45</v>
      </c>
      <c r="E4" s="2">
        <v>19</v>
      </c>
      <c r="F4" s="2"/>
      <c r="G4" s="2"/>
      <c r="H4" s="2"/>
      <c r="I4" s="2"/>
      <c r="J4" s="2" t="s">
        <v>46</v>
      </c>
      <c r="K4" s="3">
        <v>26857</v>
      </c>
      <c r="L4" s="2"/>
      <c r="M4" s="2" t="s">
        <v>47</v>
      </c>
      <c r="N4" s="3">
        <v>7496647</v>
      </c>
      <c r="O4" s="2"/>
      <c r="P4" s="2" t="s">
        <v>48</v>
      </c>
      <c r="Q4" s="3">
        <v>1858745</v>
      </c>
      <c r="R4" s="2"/>
      <c r="S4" s="2" t="s">
        <v>49</v>
      </c>
      <c r="T4" s="5">
        <v>8323</v>
      </c>
      <c r="U4" s="2"/>
      <c r="V4" s="2" t="s">
        <v>50</v>
      </c>
      <c r="W4" s="2">
        <v>2</v>
      </c>
    </row>
    <row r="5" spans="1:23" ht="14.4" x14ac:dyDescent="0.3">
      <c r="A5" s="2" t="s">
        <v>51</v>
      </c>
      <c r="B5" s="3">
        <v>520000</v>
      </c>
      <c r="C5" s="2"/>
      <c r="D5" s="2" t="s">
        <v>52</v>
      </c>
      <c r="E5" s="2">
        <v>16</v>
      </c>
      <c r="F5" s="2"/>
      <c r="G5" s="2"/>
      <c r="H5" s="2"/>
      <c r="I5" s="2"/>
      <c r="J5" s="2" t="s">
        <v>53</v>
      </c>
      <c r="K5" s="3">
        <v>23678</v>
      </c>
      <c r="L5" s="2"/>
      <c r="M5" s="2" t="s">
        <v>54</v>
      </c>
      <c r="N5" s="3">
        <v>6828325</v>
      </c>
      <c r="O5" s="2"/>
      <c r="P5" s="2" t="s">
        <v>55</v>
      </c>
      <c r="Q5" s="3">
        <v>1624891</v>
      </c>
      <c r="R5" s="2"/>
      <c r="S5" s="2" t="s">
        <v>56</v>
      </c>
      <c r="T5" s="5">
        <v>2490</v>
      </c>
      <c r="U5" s="2"/>
      <c r="V5" s="2"/>
      <c r="W5" s="2"/>
    </row>
    <row r="6" spans="1:23" ht="14.4" x14ac:dyDescent="0.3">
      <c r="A6" s="2" t="s">
        <v>57</v>
      </c>
      <c r="B6" s="3">
        <v>510000</v>
      </c>
      <c r="C6" s="2"/>
      <c r="D6" s="2" t="s">
        <v>58</v>
      </c>
      <c r="E6" s="2">
        <v>9</v>
      </c>
      <c r="F6" s="2"/>
      <c r="G6" s="2"/>
      <c r="H6" s="2"/>
      <c r="I6" s="2"/>
      <c r="J6" s="2" t="s">
        <v>59</v>
      </c>
      <c r="K6" s="3">
        <v>22915</v>
      </c>
      <c r="L6" s="2"/>
      <c r="M6" s="2" t="s">
        <v>60</v>
      </c>
      <c r="N6" s="3">
        <v>6390189</v>
      </c>
      <c r="O6" s="2"/>
      <c r="P6" s="2" t="s">
        <v>61</v>
      </c>
      <c r="Q6" s="3">
        <v>1247558</v>
      </c>
      <c r="R6" s="2"/>
      <c r="S6" s="2"/>
      <c r="T6" s="2"/>
      <c r="U6" s="2"/>
      <c r="V6" s="2"/>
      <c r="W6" s="2"/>
    </row>
    <row r="7" spans="1:23" ht="14.4" x14ac:dyDescent="0.3">
      <c r="A7" s="2" t="s">
        <v>62</v>
      </c>
      <c r="B7" s="3">
        <v>680000</v>
      </c>
      <c r="C7" s="2"/>
      <c r="D7" s="2" t="s">
        <v>63</v>
      </c>
      <c r="E7" s="2">
        <v>7</v>
      </c>
      <c r="F7" s="2"/>
      <c r="G7" s="2"/>
      <c r="H7" s="2"/>
      <c r="I7" s="2"/>
      <c r="J7" s="2" t="s">
        <v>64</v>
      </c>
      <c r="K7" s="3">
        <v>21073</v>
      </c>
      <c r="L7" s="2"/>
      <c r="M7" s="2" t="s">
        <v>65</v>
      </c>
      <c r="N7" s="3">
        <v>6231261</v>
      </c>
      <c r="O7" s="2"/>
      <c r="P7" s="2" t="s">
        <v>66</v>
      </c>
      <c r="Q7" s="3">
        <v>932114</v>
      </c>
      <c r="R7" s="2"/>
      <c r="S7" s="2"/>
      <c r="T7" s="2"/>
      <c r="U7" s="2"/>
      <c r="V7" s="2"/>
      <c r="W7" s="2"/>
    </row>
    <row r="8" spans="1:23" ht="14.4" x14ac:dyDescent="0.3">
      <c r="A8" s="2" t="s">
        <v>67</v>
      </c>
      <c r="B8" s="3">
        <v>1080000</v>
      </c>
      <c r="C8" s="2"/>
      <c r="D8" s="2"/>
      <c r="E8" s="2"/>
      <c r="F8" s="2"/>
      <c r="G8" s="2"/>
      <c r="H8" s="2"/>
      <c r="I8" s="2"/>
      <c r="J8" s="2" t="s">
        <v>68</v>
      </c>
      <c r="K8" s="3">
        <v>18560</v>
      </c>
      <c r="L8" s="2"/>
      <c r="M8" s="2" t="s">
        <v>69</v>
      </c>
      <c r="N8" s="3">
        <v>5943188</v>
      </c>
      <c r="O8" s="2"/>
      <c r="P8" s="2" t="s">
        <v>70</v>
      </c>
      <c r="Q8" s="3">
        <v>712368</v>
      </c>
      <c r="R8" s="2"/>
      <c r="S8" s="2"/>
      <c r="T8" s="2"/>
      <c r="U8" s="2"/>
      <c r="V8" s="2"/>
      <c r="W8" s="2"/>
    </row>
    <row r="9" spans="1:23" ht="14.4" x14ac:dyDescent="0.3">
      <c r="A9" s="2" t="s">
        <v>71</v>
      </c>
      <c r="B9" s="3">
        <v>700000</v>
      </c>
      <c r="C9" s="2"/>
      <c r="D9" s="2"/>
      <c r="E9" s="2"/>
      <c r="F9" s="2"/>
      <c r="G9" s="2"/>
      <c r="H9" s="2"/>
      <c r="I9" s="2"/>
      <c r="J9" s="2" t="s">
        <v>72</v>
      </c>
      <c r="K9" s="3">
        <v>17964</v>
      </c>
      <c r="L9" s="2"/>
      <c r="M9" s="2" t="s">
        <v>73</v>
      </c>
      <c r="N9" s="3">
        <v>5683364</v>
      </c>
      <c r="O9" s="2"/>
      <c r="P9" s="2" t="s">
        <v>74</v>
      </c>
      <c r="Q9" s="3">
        <v>561285</v>
      </c>
      <c r="R9" s="2"/>
      <c r="S9" s="2"/>
      <c r="T9" s="2"/>
      <c r="U9" s="2"/>
      <c r="V9" s="2"/>
      <c r="W9" s="2"/>
    </row>
    <row r="10" spans="1:23" ht="14.4" x14ac:dyDescent="0.3">
      <c r="A10" s="2" t="s">
        <v>75</v>
      </c>
      <c r="B10" s="3">
        <v>375000</v>
      </c>
      <c r="C10" s="2"/>
      <c r="D10" s="2"/>
      <c r="E10" s="2"/>
      <c r="F10" s="2"/>
      <c r="G10" s="2"/>
      <c r="H10" s="2"/>
      <c r="I10" s="2"/>
      <c r="J10" s="2" t="s">
        <v>76</v>
      </c>
      <c r="K10" s="3">
        <v>16485</v>
      </c>
      <c r="L10" s="2"/>
      <c r="M10" s="2" t="s">
        <v>77</v>
      </c>
      <c r="N10" s="3">
        <v>5754919</v>
      </c>
      <c r="O10" s="2"/>
      <c r="P10" s="2"/>
      <c r="Q10" s="2"/>
      <c r="R10" s="2"/>
      <c r="S10" s="2"/>
      <c r="T10" s="2"/>
      <c r="U10" s="2"/>
      <c r="V10" s="2"/>
      <c r="W10" s="2"/>
    </row>
    <row r="11" spans="1:23" ht="14.4" x14ac:dyDescent="0.3">
      <c r="A11" s="2" t="s">
        <v>78</v>
      </c>
      <c r="B11" s="3">
        <v>365000</v>
      </c>
      <c r="C11" s="2"/>
      <c r="D11" s="2"/>
      <c r="E11" s="2"/>
      <c r="F11" s="2"/>
      <c r="G11" s="2"/>
      <c r="H11" s="2"/>
      <c r="I11" s="2"/>
      <c r="J11" s="2" t="s">
        <v>79</v>
      </c>
      <c r="K11" s="3">
        <v>11142</v>
      </c>
      <c r="L11" s="2"/>
      <c r="M11" s="2" t="s">
        <v>80</v>
      </c>
      <c r="N11" s="3">
        <v>5473274</v>
      </c>
      <c r="O11" s="2"/>
      <c r="P11" s="2"/>
      <c r="Q11" s="2"/>
      <c r="R11" s="2"/>
      <c r="S11" s="2"/>
      <c r="T11" s="2"/>
      <c r="U11" s="2"/>
      <c r="V11" s="2"/>
      <c r="W11" s="2"/>
    </row>
    <row r="12" spans="1:23" ht="14.4" x14ac:dyDescent="0.3">
      <c r="A12" s="2" t="s">
        <v>81</v>
      </c>
      <c r="B12" s="3">
        <v>350000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4.4" x14ac:dyDescent="0.3">
      <c r="A13" s="2" t="s">
        <v>82</v>
      </c>
      <c r="B13" s="3">
        <v>315000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"/>
  <sheetViews>
    <sheetView showGridLines="0" workbookViewId="0"/>
  </sheetViews>
  <sheetFormatPr defaultColWidth="14.44140625" defaultRowHeight="15" customHeight="1" x14ac:dyDescent="0.3"/>
  <cols>
    <col min="1" max="23" width="16" customWidth="1"/>
  </cols>
  <sheetData>
    <row r="1" spans="1:23" ht="14.4" x14ac:dyDescent="0.3">
      <c r="A1" s="6" t="s">
        <v>83</v>
      </c>
      <c r="B1" s="6"/>
      <c r="C1" s="6"/>
      <c r="D1" s="6" t="s">
        <v>24</v>
      </c>
      <c r="E1" s="6" t="s">
        <v>25</v>
      </c>
      <c r="F1" s="6"/>
      <c r="G1" s="6" t="s">
        <v>15</v>
      </c>
      <c r="H1" s="6" t="s">
        <v>16</v>
      </c>
      <c r="I1" s="6"/>
      <c r="J1" s="6" t="s">
        <v>17</v>
      </c>
      <c r="K1" s="6" t="s">
        <v>27</v>
      </c>
      <c r="L1" s="6"/>
      <c r="M1" s="6" t="s">
        <v>84</v>
      </c>
      <c r="N1" s="6" t="s">
        <v>16</v>
      </c>
      <c r="O1" s="6"/>
      <c r="P1" s="6" t="s">
        <v>20</v>
      </c>
      <c r="Q1" s="6" t="s">
        <v>21</v>
      </c>
      <c r="R1" s="6"/>
      <c r="S1" s="6" t="s">
        <v>22</v>
      </c>
      <c r="T1" s="6" t="s">
        <v>16</v>
      </c>
      <c r="U1" s="6"/>
      <c r="V1" s="6" t="s">
        <v>23</v>
      </c>
      <c r="W1" s="6" t="s">
        <v>16</v>
      </c>
    </row>
    <row r="2" spans="1:23" ht="14.4" x14ac:dyDescent="0.3">
      <c r="A2" s="6" t="s">
        <v>85</v>
      </c>
      <c r="B2" s="6" t="str">
        <f>'FRESHMART SALES DASHBOARD'!B7</f>
        <v xml:space="preserve">                                    All</v>
      </c>
      <c r="C2" s="6"/>
      <c r="D2" s="6" t="s">
        <v>34</v>
      </c>
      <c r="E2" s="7">
        <f>IF(AND(B2="All",B3="All",B4="All"),Data!T2,Data!T2)</f>
        <v>12948632.6</v>
      </c>
      <c r="F2" s="6"/>
      <c r="G2" s="6" t="s">
        <v>28</v>
      </c>
      <c r="H2" s="8">
        <f>Data!B2</f>
        <v>360000</v>
      </c>
      <c r="I2" s="6"/>
      <c r="J2" s="6" t="s">
        <v>29</v>
      </c>
      <c r="K2" s="6">
        <f>Data!E2</f>
        <v>22</v>
      </c>
      <c r="L2" s="6"/>
      <c r="M2" s="6" t="str">
        <f>Data!G2</f>
        <v>Offline</v>
      </c>
      <c r="N2" s="8">
        <f>Data!H2</f>
        <v>62067324</v>
      </c>
      <c r="O2" s="6"/>
      <c r="P2" s="6" t="str">
        <f>Data!J2</f>
        <v>Product 1</v>
      </c>
      <c r="Q2" s="8">
        <f>Data!K2</f>
        <v>46739</v>
      </c>
      <c r="R2" s="6"/>
      <c r="S2" s="6" t="str">
        <f>Data!M2</f>
        <v>Store 1</v>
      </c>
      <c r="T2" s="8">
        <f>Data!N2</f>
        <v>8652114</v>
      </c>
      <c r="U2" s="6"/>
      <c r="V2" s="6" t="str">
        <f>Data!P2</f>
        <v>Category 1</v>
      </c>
      <c r="W2" s="8">
        <f>Data!Q2</f>
        <v>2821365</v>
      </c>
    </row>
    <row r="3" spans="1:23" ht="14.4" x14ac:dyDescent="0.3">
      <c r="A3" s="6" t="s">
        <v>17</v>
      </c>
      <c r="B3" s="6" t="str">
        <f>'FRESHMART SALES DASHBOARD'!C13</f>
        <v xml:space="preserve">All                                                             </v>
      </c>
      <c r="C3" s="6"/>
      <c r="D3" s="6" t="s">
        <v>42</v>
      </c>
      <c r="E3" s="7">
        <f>Data!T3</f>
        <v>2037319.89</v>
      </c>
      <c r="F3" s="6"/>
      <c r="G3" s="6" t="s">
        <v>36</v>
      </c>
      <c r="H3" s="8">
        <f>Data!B3</f>
        <v>410000</v>
      </c>
      <c r="I3" s="6"/>
      <c r="J3" s="6" t="s">
        <v>37</v>
      </c>
      <c r="K3" s="6">
        <f>Data!E3</f>
        <v>20</v>
      </c>
      <c r="L3" s="6"/>
      <c r="M3" s="6" t="str">
        <f>Data!G3</f>
        <v>Online</v>
      </c>
      <c r="N3" s="8">
        <f>Data!H3</f>
        <v>29910824</v>
      </c>
      <c r="O3" s="6"/>
      <c r="P3" s="6" t="str">
        <f>Data!J3</f>
        <v>Product 2</v>
      </c>
      <c r="Q3" s="8">
        <f>Data!K3</f>
        <v>37844</v>
      </c>
      <c r="R3" s="6"/>
      <c r="S3" s="6" t="str">
        <f>Data!M3</f>
        <v>Store 2</v>
      </c>
      <c r="T3" s="8">
        <f>Data!N3</f>
        <v>7826323</v>
      </c>
      <c r="U3" s="6"/>
      <c r="V3" s="6" t="str">
        <f>Data!P3</f>
        <v>Category 2</v>
      </c>
      <c r="W3" s="8">
        <f>Data!Q3</f>
        <v>2065964</v>
      </c>
    </row>
    <row r="4" spans="1:23" ht="14.4" x14ac:dyDescent="0.3">
      <c r="A4" s="6" t="s">
        <v>19</v>
      </c>
      <c r="B4" s="6" t="str">
        <f>'FRESHMART SALES DASHBOARD'!B17</f>
        <v>All</v>
      </c>
      <c r="C4" s="6"/>
      <c r="D4" s="6" t="s">
        <v>49</v>
      </c>
      <c r="E4" s="9">
        <f>Data!T4</f>
        <v>8323</v>
      </c>
      <c r="F4" s="6"/>
      <c r="G4" s="6" t="s">
        <v>44</v>
      </c>
      <c r="H4" s="8">
        <f>Data!B4</f>
        <v>395000</v>
      </c>
      <c r="I4" s="6"/>
      <c r="J4" s="6" t="s">
        <v>45</v>
      </c>
      <c r="K4" s="6">
        <f>Data!E4</f>
        <v>19</v>
      </c>
      <c r="L4" s="6"/>
      <c r="M4" s="6"/>
      <c r="N4" s="6"/>
      <c r="O4" s="6"/>
      <c r="P4" s="6" t="str">
        <f>Data!J4</f>
        <v>Product 3</v>
      </c>
      <c r="Q4" s="8">
        <f>Data!K4</f>
        <v>26857</v>
      </c>
      <c r="R4" s="6"/>
      <c r="S4" s="6" t="str">
        <f>Data!M4</f>
        <v>Store 3</v>
      </c>
      <c r="T4" s="8">
        <f>Data!N4</f>
        <v>7496647</v>
      </c>
      <c r="U4" s="6"/>
      <c r="V4" s="6" t="str">
        <f>Data!P4</f>
        <v>Category 3</v>
      </c>
      <c r="W4" s="8">
        <f>Data!Q4</f>
        <v>1858745</v>
      </c>
    </row>
    <row r="5" spans="1:23" ht="14.4" x14ac:dyDescent="0.3">
      <c r="A5" s="6"/>
      <c r="B5" s="6"/>
      <c r="C5" s="6"/>
      <c r="D5" s="6" t="s">
        <v>56</v>
      </c>
      <c r="E5" s="9">
        <f>Data!T5</f>
        <v>2490</v>
      </c>
      <c r="F5" s="6"/>
      <c r="G5" s="6" t="s">
        <v>51</v>
      </c>
      <c r="H5" s="8">
        <f>Data!B5</f>
        <v>520000</v>
      </c>
      <c r="I5" s="6"/>
      <c r="J5" s="6" t="s">
        <v>52</v>
      </c>
      <c r="K5" s="6">
        <f>Data!E5</f>
        <v>16</v>
      </c>
      <c r="L5" s="6"/>
      <c r="M5" s="6"/>
      <c r="N5" s="6"/>
      <c r="O5" s="6"/>
      <c r="P5" s="6" t="str">
        <f>Data!J5</f>
        <v>Product 4</v>
      </c>
      <c r="Q5" s="8">
        <f>Data!K5</f>
        <v>23678</v>
      </c>
      <c r="R5" s="6"/>
      <c r="S5" s="6" t="str">
        <f>Data!M5</f>
        <v>Store 4</v>
      </c>
      <c r="T5" s="8">
        <f>Data!N5</f>
        <v>6828325</v>
      </c>
      <c r="U5" s="6"/>
      <c r="V5" s="6" t="str">
        <f>Data!P5</f>
        <v>Category 4</v>
      </c>
      <c r="W5" s="8">
        <f>Data!Q5</f>
        <v>1624891</v>
      </c>
    </row>
    <row r="6" spans="1:23" ht="14.4" x14ac:dyDescent="0.3">
      <c r="A6" s="6"/>
      <c r="B6" s="6"/>
      <c r="C6" s="6"/>
      <c r="D6" s="6"/>
      <c r="E6" s="6"/>
      <c r="F6" s="6"/>
      <c r="G6" s="6" t="s">
        <v>57</v>
      </c>
      <c r="H6" s="8">
        <f>Data!B6</f>
        <v>510000</v>
      </c>
      <c r="I6" s="6"/>
      <c r="J6" s="6" t="s">
        <v>58</v>
      </c>
      <c r="K6" s="6">
        <f>Data!E6</f>
        <v>9</v>
      </c>
      <c r="L6" s="6"/>
      <c r="M6" s="6"/>
      <c r="N6" s="6"/>
      <c r="O6" s="6"/>
      <c r="P6" s="6" t="str">
        <f>Data!J6</f>
        <v>Product 5</v>
      </c>
      <c r="Q6" s="8">
        <f>Data!K6</f>
        <v>22915</v>
      </c>
      <c r="R6" s="6"/>
      <c r="S6" s="6" t="str">
        <f>Data!M6</f>
        <v>Store 5</v>
      </c>
      <c r="T6" s="8">
        <f>Data!N6</f>
        <v>6390189</v>
      </c>
      <c r="U6" s="6"/>
      <c r="V6" s="6" t="str">
        <f>Data!P6</f>
        <v>Category 5</v>
      </c>
      <c r="W6" s="8">
        <f>Data!Q6</f>
        <v>1247558</v>
      </c>
    </row>
    <row r="7" spans="1:23" ht="14.4" x14ac:dyDescent="0.3">
      <c r="A7" s="6"/>
      <c r="B7" s="6"/>
      <c r="C7" s="6"/>
      <c r="D7" s="6"/>
      <c r="E7" s="6"/>
      <c r="F7" s="6"/>
      <c r="G7" s="6" t="s">
        <v>62</v>
      </c>
      <c r="H7" s="8">
        <f>Data!B7</f>
        <v>680000</v>
      </c>
      <c r="I7" s="6"/>
      <c r="J7" s="6" t="s">
        <v>63</v>
      </c>
      <c r="K7" s="6">
        <f>Data!E7</f>
        <v>7</v>
      </c>
      <c r="L7" s="6"/>
      <c r="M7" s="6"/>
      <c r="N7" s="6"/>
      <c r="O7" s="6"/>
      <c r="P7" s="6" t="str">
        <f>Data!J7</f>
        <v>Product 6</v>
      </c>
      <c r="Q7" s="8">
        <f>Data!K7</f>
        <v>21073</v>
      </c>
      <c r="R7" s="6"/>
      <c r="S7" s="6" t="str">
        <f>Data!M7</f>
        <v>Store 6</v>
      </c>
      <c r="T7" s="8">
        <f>Data!N7</f>
        <v>6231261</v>
      </c>
      <c r="U7" s="6"/>
      <c r="V7" s="6" t="str">
        <f>Data!P7</f>
        <v>Category 6</v>
      </c>
      <c r="W7" s="8">
        <f>Data!Q7</f>
        <v>932114</v>
      </c>
    </row>
    <row r="8" spans="1:23" ht="14.4" x14ac:dyDescent="0.3">
      <c r="A8" s="6"/>
      <c r="B8" s="6"/>
      <c r="C8" s="6"/>
      <c r="D8" s="6"/>
      <c r="E8" s="6"/>
      <c r="F8" s="6"/>
      <c r="G8" s="6" t="s">
        <v>67</v>
      </c>
      <c r="H8" s="8">
        <f>Data!B8</f>
        <v>1080000</v>
      </c>
      <c r="I8" s="6"/>
      <c r="J8" s="6" t="s">
        <v>35</v>
      </c>
      <c r="K8" s="6">
        <f>Data!W2</f>
        <v>3</v>
      </c>
      <c r="L8" s="6"/>
      <c r="M8" s="6"/>
      <c r="N8" s="6"/>
      <c r="O8" s="6"/>
      <c r="P8" s="6" t="str">
        <f>Data!J8</f>
        <v>Product 7</v>
      </c>
      <c r="Q8" s="8">
        <f>Data!K8</f>
        <v>18560</v>
      </c>
      <c r="R8" s="6"/>
      <c r="S8" s="6" t="str">
        <f>Data!M8</f>
        <v>Store 7</v>
      </c>
      <c r="T8" s="8">
        <f>Data!N8</f>
        <v>5943188</v>
      </c>
      <c r="U8" s="6"/>
      <c r="V8" s="6" t="str">
        <f>Data!P8</f>
        <v>Category 7</v>
      </c>
      <c r="W8" s="8">
        <f>Data!Q8</f>
        <v>712368</v>
      </c>
    </row>
    <row r="9" spans="1:23" ht="14.4" x14ac:dyDescent="0.3">
      <c r="A9" s="6"/>
      <c r="B9" s="6"/>
      <c r="C9" s="6"/>
      <c r="D9" s="6"/>
      <c r="E9" s="6"/>
      <c r="F9" s="6"/>
      <c r="G9" s="6" t="s">
        <v>71</v>
      </c>
      <c r="H9" s="8">
        <f>Data!B9</f>
        <v>700000</v>
      </c>
      <c r="I9" s="6"/>
      <c r="J9" s="6" t="s">
        <v>43</v>
      </c>
      <c r="K9" s="6">
        <f>Data!W3</f>
        <v>2</v>
      </c>
      <c r="L9" s="6"/>
      <c r="M9" s="6"/>
      <c r="N9" s="6"/>
      <c r="O9" s="6"/>
      <c r="P9" s="6" t="str">
        <f>Data!J9</f>
        <v>Product 8</v>
      </c>
      <c r="Q9" s="8">
        <f>Data!K9</f>
        <v>17964</v>
      </c>
      <c r="R9" s="6"/>
      <c r="S9" s="6" t="str">
        <f>Data!M9</f>
        <v>Store 8</v>
      </c>
      <c r="T9" s="8">
        <f>Data!N9</f>
        <v>5683364</v>
      </c>
      <c r="U9" s="6"/>
      <c r="V9" s="6" t="str">
        <f>Data!P9</f>
        <v>Category 8</v>
      </c>
      <c r="W9" s="8">
        <f>Data!Q9</f>
        <v>561285</v>
      </c>
    </row>
    <row r="10" spans="1:23" ht="14.4" x14ac:dyDescent="0.3">
      <c r="A10" s="6"/>
      <c r="B10" s="6"/>
      <c r="C10" s="6"/>
      <c r="D10" s="6"/>
      <c r="E10" s="6"/>
      <c r="F10" s="6"/>
      <c r="G10" s="6" t="s">
        <v>75</v>
      </c>
      <c r="H10" s="8">
        <f>Data!B10</f>
        <v>375000</v>
      </c>
      <c r="I10" s="6"/>
      <c r="J10" s="6" t="s">
        <v>50</v>
      </c>
      <c r="K10" s="6">
        <f>Data!W4</f>
        <v>2</v>
      </c>
      <c r="L10" s="6"/>
      <c r="M10" s="6"/>
      <c r="N10" s="6"/>
      <c r="O10" s="6"/>
      <c r="P10" s="6" t="str">
        <f>Data!J10</f>
        <v>Product 9</v>
      </c>
      <c r="Q10" s="8">
        <f>Data!K10</f>
        <v>16485</v>
      </c>
      <c r="R10" s="6"/>
      <c r="S10" s="6" t="str">
        <f>Data!M10</f>
        <v>Store 9</v>
      </c>
      <c r="T10" s="8">
        <f>Data!N10</f>
        <v>5754919</v>
      </c>
      <c r="U10" s="6"/>
      <c r="V10" s="6"/>
      <c r="W10" s="6"/>
    </row>
    <row r="11" spans="1:23" ht="14.4" x14ac:dyDescent="0.3">
      <c r="A11" s="6"/>
      <c r="B11" s="6"/>
      <c r="C11" s="6"/>
      <c r="D11" s="6"/>
      <c r="E11" s="6"/>
      <c r="F11" s="6"/>
      <c r="G11" s="6" t="s">
        <v>78</v>
      </c>
      <c r="H11" s="8">
        <f>Data!B11</f>
        <v>365000</v>
      </c>
      <c r="I11" s="6"/>
      <c r="J11" s="6"/>
      <c r="K11" s="6"/>
      <c r="L11" s="6"/>
      <c r="M11" s="6"/>
      <c r="N11" s="6"/>
      <c r="O11" s="6"/>
      <c r="P11" s="6" t="str">
        <f>Data!J11</f>
        <v>Product 10</v>
      </c>
      <c r="Q11" s="8">
        <f>Data!K11</f>
        <v>11142</v>
      </c>
      <c r="R11" s="6"/>
      <c r="S11" s="6" t="str">
        <f>Data!M11</f>
        <v>Store 10</v>
      </c>
      <c r="T11" s="8">
        <f>Data!N11</f>
        <v>5473274</v>
      </c>
      <c r="U11" s="6"/>
      <c r="V11" s="6"/>
      <c r="W11" s="6"/>
    </row>
    <row r="12" spans="1:23" ht="14.4" x14ac:dyDescent="0.3">
      <c r="A12" s="6"/>
      <c r="B12" s="6"/>
      <c r="C12" s="6"/>
      <c r="D12" s="6"/>
      <c r="E12" s="6"/>
      <c r="F12" s="6"/>
      <c r="G12" s="6" t="s">
        <v>81</v>
      </c>
      <c r="H12" s="8">
        <f>Data!B12</f>
        <v>350000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4.4" x14ac:dyDescent="0.3">
      <c r="A13" s="6"/>
      <c r="B13" s="6"/>
      <c r="C13" s="6"/>
      <c r="D13" s="6"/>
      <c r="E13" s="6"/>
      <c r="F13" s="6"/>
      <c r="G13" s="6" t="s">
        <v>82</v>
      </c>
      <c r="H13" s="8">
        <f>Data!B13</f>
        <v>315000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FRESHMART SALES DASHBOARD</vt:lpstr>
      <vt:lpstr>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 T</cp:lastModifiedBy>
  <dcterms:created xsi:type="dcterms:W3CDTF">2026-08-25T11:26:12Z</dcterms:created>
  <dcterms:modified xsi:type="dcterms:W3CDTF">2026-08-25T12:38:06Z</dcterms:modified>
</cp:coreProperties>
</file>